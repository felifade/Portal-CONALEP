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_Semanal_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025940"/>
        <bgColor rgb="00025940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5" customWidth="1" min="4" max="4"/>
    <col width="15" customWidth="1" min="5" max="5"/>
    <col width="15" customWidth="1" min="6" max="6"/>
    <col width="4" customWidth="1" min="7" max="7"/>
    <col width="26" customWidth="1" min="8" max="8"/>
    <col width="16" customWidth="1" min="9" max="9"/>
  </cols>
  <sheetData>
    <row r="1" ht="36" customHeight="1">
      <c r="A1" s="1" t="inlineStr">
        <is>
          <t>CONALEP PACHUCA II — CONTROL DE PRESUPUESTO PERSONAL (EDOA-20 · GRUPO 301)</t>
        </is>
      </c>
      <c r="B1" s="2" t="n"/>
      <c r="C1" s="2" t="n"/>
      <c r="D1" s="2" t="n"/>
      <c r="E1" s="2" t="n"/>
      <c r="F1" s="2" t="n"/>
    </row>
    <row r="3" ht="24" customHeight="1">
      <c r="A3" s="3" t="inlineStr">
        <is>
          <t>Día</t>
        </is>
      </c>
      <c r="B3" s="3" t="inlineStr">
        <is>
          <t>Categoría</t>
        </is>
      </c>
      <c r="C3" s="3" t="inlineStr">
        <is>
          <t>Descripción</t>
        </is>
      </c>
      <c r="D3" s="3" t="inlineStr">
        <is>
          <t>Ingreso ($)</t>
        </is>
      </c>
      <c r="E3" s="3" t="inlineStr">
        <is>
          <t>Egreso ($)</t>
        </is>
      </c>
      <c r="F3" s="3" t="inlineStr">
        <is>
          <t>Saldo ($)</t>
        </is>
      </c>
      <c r="H3" s="4" t="inlineStr">
        <is>
          <t>RESUMEN ESTADÍSTICO SEMANAL</t>
        </is>
      </c>
      <c r="I3" s="2" t="n"/>
    </row>
    <row r="4" ht="20" customHeight="1">
      <c r="A4" s="5" t="inlineStr">
        <is>
          <t>Lunes</t>
        </is>
      </c>
      <c r="B4" s="5" t="inlineStr">
        <is>
          <t>Ingreso</t>
        </is>
      </c>
      <c r="C4" s="6" t="inlineStr">
        <is>
          <t>Beca / Apoyo Semanal</t>
        </is>
      </c>
      <c r="D4" s="7" t="n">
        <v>300</v>
      </c>
      <c r="E4" s="7" t="n">
        <v>0</v>
      </c>
      <c r="F4" s="8">
        <f>D4-E4</f>
        <v/>
      </c>
      <c r="H4" s="9" t="inlineStr">
        <is>
          <t>Total Ingresos:</t>
        </is>
      </c>
      <c r="I4" s="8">
        <f>SUM(D4:D18)</f>
        <v/>
      </c>
    </row>
    <row r="5" ht="20" customHeight="1">
      <c r="A5" s="5" t="inlineStr">
        <is>
          <t>Lunes</t>
        </is>
      </c>
      <c r="B5" s="5" t="inlineStr">
        <is>
          <t>Transporte</t>
        </is>
      </c>
      <c r="C5" s="6" t="inlineStr">
        <is>
          <t>Pasaje Colectivo</t>
        </is>
      </c>
      <c r="D5" s="7" t="n">
        <v>0</v>
      </c>
      <c r="E5" s="7" t="n">
        <v>15</v>
      </c>
      <c r="F5" s="8">
        <f>F4-E5</f>
        <v/>
      </c>
      <c r="H5" s="9" t="inlineStr">
        <is>
          <t>Total Egresos:</t>
        </is>
      </c>
      <c r="I5" s="8">
        <f>SUM(E4:E18)</f>
        <v/>
      </c>
    </row>
    <row r="6" ht="20" customHeight="1">
      <c r="A6" s="5" t="inlineStr">
        <is>
          <t>Lunes</t>
        </is>
      </c>
      <c r="B6" s="5" t="inlineStr">
        <is>
          <t>Alimentación</t>
        </is>
      </c>
      <c r="C6" s="6" t="inlineStr">
        <is>
          <t>Torta y agua cafetería</t>
        </is>
      </c>
      <c r="D6" s="7" t="n">
        <v>0</v>
      </c>
      <c r="E6" s="7" t="n">
        <v>45</v>
      </c>
      <c r="F6" s="8">
        <f>F5-E6</f>
        <v/>
      </c>
      <c r="H6" s="9" t="inlineStr">
        <is>
          <t>Gasto Promedio Diario:</t>
        </is>
      </c>
      <c r="I6" s="8">
        <f>AVERAGE(E4:E18)</f>
        <v/>
      </c>
    </row>
    <row r="7" ht="20" customHeight="1">
      <c r="A7" s="5" t="inlineStr">
        <is>
          <t>Martes</t>
        </is>
      </c>
      <c r="B7" s="5" t="inlineStr">
        <is>
          <t>Transporte</t>
        </is>
      </c>
      <c r="C7" s="6" t="inlineStr">
        <is>
          <t>Pasaje Colectivo</t>
        </is>
      </c>
      <c r="D7" s="7" t="n">
        <v>0</v>
      </c>
      <c r="E7" s="7" t="n">
        <v>15</v>
      </c>
      <c r="F7" s="8">
        <f>F6-E7</f>
        <v/>
      </c>
      <c r="H7" s="9" t="inlineStr">
        <is>
          <t>Gasto Máximo (Día caro):</t>
        </is>
      </c>
      <c r="I7" s="8">
        <f>MAX(E4:E18)</f>
        <v/>
      </c>
    </row>
    <row r="8" ht="20" customHeight="1">
      <c r="A8" s="5" t="inlineStr">
        <is>
          <t>Martes</t>
        </is>
      </c>
      <c r="B8" s="5" t="inlineStr">
        <is>
          <t>Escolar</t>
        </is>
      </c>
      <c r="C8" s="6" t="inlineStr">
        <is>
          <t>Copias Guía EDOA</t>
        </is>
      </c>
      <c r="D8" s="7" t="n">
        <v>0</v>
      </c>
      <c r="E8" s="7" t="n">
        <v>10</v>
      </c>
      <c r="F8" s="8">
        <f>F7-E8</f>
        <v/>
      </c>
      <c r="H8" s="9" t="inlineStr">
        <is>
          <t>Gasto Mínimo (Menor gasto):</t>
        </is>
      </c>
      <c r="I8" s="8">
        <f>MIN(E4:E18)</f>
        <v/>
      </c>
    </row>
    <row r="9" ht="20" customHeight="1">
      <c r="A9" s="5" t="inlineStr">
        <is>
          <t>Miércoles</t>
        </is>
      </c>
      <c r="B9" s="5" t="inlineStr">
        <is>
          <t>Transporte</t>
        </is>
      </c>
      <c r="C9" s="6" t="inlineStr">
        <is>
          <t>Pasaje Colectivo</t>
        </is>
      </c>
      <c r="D9" s="7" t="n">
        <v>0</v>
      </c>
      <c r="E9" s="7" t="n">
        <v>15</v>
      </c>
      <c r="F9" s="8">
        <f>F8-E9</f>
        <v/>
      </c>
    </row>
    <row r="10" ht="20" customHeight="1">
      <c r="A10" s="5" t="inlineStr">
        <is>
          <t>Miércoles</t>
        </is>
      </c>
      <c r="B10" s="5" t="inlineStr">
        <is>
          <t>Gustos</t>
        </is>
      </c>
      <c r="C10" s="6" t="inlineStr">
        <is>
          <t>Refresco y papas</t>
        </is>
      </c>
      <c r="D10" s="7" t="n">
        <v>0</v>
      </c>
      <c r="E10" s="7" t="n">
        <v>35</v>
      </c>
      <c r="F10" s="8">
        <f>F9-E10</f>
        <v/>
      </c>
    </row>
    <row r="11" ht="20" customHeight="1">
      <c r="A11" s="5" t="inlineStr">
        <is>
          <t>Jueves</t>
        </is>
      </c>
      <c r="B11" s="5" t="inlineStr">
        <is>
          <t>Transporte</t>
        </is>
      </c>
      <c r="C11" s="6" t="inlineStr">
        <is>
          <t>Pasaje Colectivo</t>
        </is>
      </c>
      <c r="D11" s="7" t="n">
        <v>0</v>
      </c>
      <c r="E11" s="7" t="n">
        <v>15</v>
      </c>
      <c r="F11" s="8">
        <f>F10-E11</f>
        <v/>
      </c>
    </row>
    <row r="12" ht="20" customHeight="1">
      <c r="A12" s="5" t="inlineStr">
        <is>
          <t>Jueves</t>
        </is>
      </c>
      <c r="B12" s="5" t="inlineStr">
        <is>
          <t>Recargas</t>
        </is>
      </c>
      <c r="C12" s="6" t="inlineStr">
        <is>
          <t>Tiempo Aire Celular</t>
        </is>
      </c>
      <c r="D12" s="7" t="n">
        <v>0</v>
      </c>
      <c r="E12" s="7" t="n">
        <v>50</v>
      </c>
      <c r="F12" s="8">
        <f>F11-E12</f>
        <v/>
      </c>
    </row>
    <row r="13" ht="20" customHeight="1">
      <c r="A13" s="5" t="inlineStr">
        <is>
          <t>Viernes</t>
        </is>
      </c>
      <c r="B13" s="5" t="inlineStr">
        <is>
          <t>Transporte</t>
        </is>
      </c>
      <c r="C13" s="6" t="inlineStr">
        <is>
          <t>Pasaje Colectivo</t>
        </is>
      </c>
      <c r="D13" s="7" t="n">
        <v>0</v>
      </c>
      <c r="E13" s="7" t="n">
        <v>15</v>
      </c>
      <c r="F13" s="8">
        <f>F12-E13</f>
        <v/>
      </c>
    </row>
    <row r="14" ht="20" customHeight="1">
      <c r="A14" s="5" t="inlineStr">
        <is>
          <t>Viernes</t>
        </is>
      </c>
      <c r="B14" s="5" t="inlineStr">
        <is>
          <t>Alimentación</t>
        </is>
      </c>
      <c r="C14" s="6" t="inlineStr">
        <is>
          <t>Lonche y Galletas</t>
        </is>
      </c>
      <c r="D14" s="7" t="n">
        <v>0</v>
      </c>
      <c r="E14" s="7" t="n">
        <v>40</v>
      </c>
      <c r="F14" s="8">
        <f>F13-E14</f>
        <v/>
      </c>
    </row>
    <row r="15" ht="20" customHeight="1">
      <c r="A15" s="5" t="inlineStr">
        <is>
          <t>Viernes</t>
        </is>
      </c>
      <c r="B15" s="5" t="inlineStr">
        <is>
          <t>Escolar</t>
        </is>
      </c>
      <c r="C15" s="6" t="inlineStr">
        <is>
          <t>Papelería e Impresiones</t>
        </is>
      </c>
      <c r="D15" s="7" t="n">
        <v>0</v>
      </c>
      <c r="E15" s="7" t="n">
        <v>20</v>
      </c>
      <c r="F15" s="8">
        <f>F14-E15</f>
        <v/>
      </c>
    </row>
    <row r="16" ht="20" customHeight="1">
      <c r="A16" s="5" t="inlineStr">
        <is>
          <t>Sábado</t>
        </is>
      </c>
      <c r="B16" s="5" t="inlineStr">
        <is>
          <t>Gustos</t>
        </is>
      </c>
      <c r="C16" s="6" t="inlineStr">
        <is>
          <t>Salida y botana</t>
        </is>
      </c>
      <c r="D16" s="7" t="n">
        <v>0</v>
      </c>
      <c r="E16" s="7" t="n">
        <v>35</v>
      </c>
      <c r="F16" s="8">
        <f>F15-E16</f>
        <v/>
      </c>
    </row>
    <row r="17" ht="20" customHeight="1">
      <c r="A17" s="5" t="inlineStr">
        <is>
          <t>Domingo</t>
        </is>
      </c>
      <c r="B17" s="5" t="inlineStr">
        <is>
          <t>Transporte</t>
        </is>
      </c>
      <c r="C17" s="6" t="inlineStr">
        <is>
          <t>Pasaje fin de semana</t>
        </is>
      </c>
      <c r="D17" s="7" t="n">
        <v>0</v>
      </c>
      <c r="E17" s="7" t="n">
        <v>15</v>
      </c>
      <c r="F17" s="8">
        <f>F16-E17</f>
        <v/>
      </c>
    </row>
    <row r="18" ht="20" customHeight="1">
      <c r="A18" s="5" t="inlineStr">
        <is>
          <t>Domingo</t>
        </is>
      </c>
      <c r="B18" s="5" t="inlineStr">
        <is>
          <t>Ahorro</t>
        </is>
      </c>
      <c r="C18" s="6" t="inlineStr">
        <is>
          <t>Reserva semanal</t>
        </is>
      </c>
      <c r="D18" s="7" t="n">
        <v>0</v>
      </c>
      <c r="E18" s="7" t="n">
        <v>0</v>
      </c>
      <c r="F18" s="8">
        <f>F17-E18</f>
        <v/>
      </c>
    </row>
  </sheetData>
  <mergeCells count="2">
    <mergeCell ref="A1:F1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2026-10-12T23:45:37Z</dcterms:created>
  <dcterms:modified xmlns:dcterms="http://purl.org/dc/terms/" xmlns:xsi="http://www.w3.org/2001/XMLSchema-instance" xsi:type="dcterms:W3CDTF">2026-10-12T23:45:37Z</dcterms:modified>
</cp:coreProperties>
</file>